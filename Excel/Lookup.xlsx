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's\Ms-Excel\"/>
    </mc:Choice>
  </mc:AlternateContent>
  <xr:revisionPtr revIDLastSave="0" documentId="8_{0E18AC1A-2B26-4254-A433-6BF755FF42B1}" xr6:coauthVersionLast="47" xr6:coauthVersionMax="47" xr10:uidLastSave="{00000000-0000-0000-0000-000000000000}"/>
  <bookViews>
    <workbookView xWindow="-108" yWindow="-108" windowWidth="23256" windowHeight="12456" xr2:uid="{0C818E9D-90B8-4A47-A516-F976CC5A820C}"/>
  </bookViews>
  <sheets>
    <sheet name="Sheet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N12" i="1" a="1"/>
  <c r="N12" i="1"/>
  <c r="O12" i="1" a="1"/>
  <c r="O12" i="1"/>
  <c r="J16" i="1"/>
  <c r="J14" i="1"/>
  <c r="J27" i="1"/>
  <c r="J28" i="1"/>
  <c r="J29" i="1"/>
  <c r="J30" i="1"/>
  <c r="J26" i="1"/>
  <c r="J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<sst xmlns="http://schemas.openxmlformats.org/spreadsheetml/2006/main" count="133" uniqueCount="78">
  <si>
    <t>Name</t>
  </si>
  <si>
    <t>Product Name</t>
  </si>
  <si>
    <t>Region</t>
  </si>
  <si>
    <t>City</t>
  </si>
  <si>
    <t>Gender</t>
  </si>
  <si>
    <t>Amount</t>
  </si>
  <si>
    <t>Bharat Innovations</t>
  </si>
  <si>
    <t>Speaker</t>
  </si>
  <si>
    <t>North</t>
  </si>
  <si>
    <t>Delhi</t>
  </si>
  <si>
    <t>Male</t>
  </si>
  <si>
    <t>Green Leaf Enterprises</t>
  </si>
  <si>
    <t>Earbuds</t>
  </si>
  <si>
    <t>West</t>
  </si>
  <si>
    <t>Mumbai</t>
  </si>
  <si>
    <t>Urban Pulse Technologies</t>
  </si>
  <si>
    <t>East</t>
  </si>
  <si>
    <t>Kolkata</t>
  </si>
  <si>
    <t>Mystic India Exports</t>
  </si>
  <si>
    <t>South</t>
  </si>
  <si>
    <t>Chennai</t>
  </si>
  <si>
    <t>Golden Horizon Ventures</t>
  </si>
  <si>
    <t>Women dress</t>
  </si>
  <si>
    <t>Bengaluru</t>
  </si>
  <si>
    <t>Eternal Traditions</t>
  </si>
  <si>
    <t>Hyderabad</t>
  </si>
  <si>
    <t>Apex Solutions</t>
  </si>
  <si>
    <t>Ahmedabad</t>
  </si>
  <si>
    <t>Harmony Foods</t>
  </si>
  <si>
    <t>Pune</t>
  </si>
  <si>
    <t>Pure Essence Skincare</t>
  </si>
  <si>
    <t>Jaipur</t>
  </si>
  <si>
    <t>Female</t>
  </si>
  <si>
    <t>Zenith Construction Co.</t>
  </si>
  <si>
    <t>Surat</t>
  </si>
  <si>
    <t>LOOKUP</t>
  </si>
  <si>
    <t>VLOOKUP</t>
  </si>
  <si>
    <t>Radiant Health Systems</t>
  </si>
  <si>
    <t>Lucknow</t>
  </si>
  <si>
    <t>Divine Creations</t>
  </si>
  <si>
    <t>Kanpur</t>
  </si>
  <si>
    <t>Metro Tech Solutions</t>
  </si>
  <si>
    <t>Nagpur</t>
  </si>
  <si>
    <t>-&gt;Finds data vertically</t>
  </si>
  <si>
    <t>True Path Logistics</t>
  </si>
  <si>
    <t>Central</t>
  </si>
  <si>
    <t>Indore</t>
  </si>
  <si>
    <t>Sacred Roots Apparel</t>
  </si>
  <si>
    <t>Male dress</t>
  </si>
  <si>
    <t>Thane</t>
  </si>
  <si>
    <t>INDEX</t>
  </si>
  <si>
    <t>Quantum Finance Services</t>
  </si>
  <si>
    <t>North (Union Territory)</t>
  </si>
  <si>
    <t>Chandigarh</t>
  </si>
  <si>
    <t>MATCH</t>
  </si>
  <si>
    <t>Brilliant Minds Academy</t>
  </si>
  <si>
    <t>Bhopal</t>
  </si>
  <si>
    <t>Visionary Holdings</t>
  </si>
  <si>
    <t>Visakhapatnam</t>
  </si>
  <si>
    <t>Stellar Design Studio</t>
  </si>
  <si>
    <t>Patna</t>
  </si>
  <si>
    <t>EMPID</t>
  </si>
  <si>
    <t>NAME</t>
  </si>
  <si>
    <t>YASH</t>
  </si>
  <si>
    <t>SAHIL</t>
  </si>
  <si>
    <t>TANMAY</t>
  </si>
  <si>
    <t>ASHISH</t>
  </si>
  <si>
    <t>RITESH</t>
  </si>
  <si>
    <t>HLOOKUP</t>
  </si>
  <si>
    <t>-&gt; Finds Data Horizontally</t>
  </si>
  <si>
    <t>CITY</t>
  </si>
  <si>
    <t>Kalyan</t>
  </si>
  <si>
    <t>SALARY</t>
  </si>
  <si>
    <t>DEPT</t>
  </si>
  <si>
    <t>HR</t>
  </si>
  <si>
    <t>IT</t>
  </si>
  <si>
    <t>Marketing</t>
  </si>
  <si>
    <t>NOTE - f4 Button To fix the values so u can drag the formula where u want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</si>
</sst>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3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D484D-D3CA-4F4E-9E20-EA2EDD2CF9C5}">
  <dimension ref="A1:O30"/>
  <sheetViews>
    <sheetView tabSelected="1" workbookViewId="0">
      <selection activeCell="J17" sqref="J17"/>
    </sheetView>
  </sheetViews>
  <sheetFormatPr defaultRowHeight="14.45"/>
  <cols>
    <col min="1" max="1" width="25.85546875" bestFit="1" customWidth="1"/>
    <col min="2" max="2" width="19.28515625" bestFit="1" customWidth="1"/>
    <col min="3" max="3" width="23" bestFit="1" customWidth="1"/>
    <col min="4" max="4" width="15.7109375" bestFit="1" customWidth="1"/>
    <col min="5" max="5" width="10.42578125" bestFit="1" customWidth="1"/>
    <col min="6" max="6" width="11.28515625" bestFit="1" customWidth="1"/>
  </cols>
  <sheetData>
    <row r="1" spans="1:15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15" ht="15.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3360636</v>
      </c>
    </row>
    <row r="3" spans="1:15" ht="15.6">
      <c r="A3" s="3" t="s">
        <v>11</v>
      </c>
      <c r="B3" s="3" t="s">
        <v>12</v>
      </c>
      <c r="C3" s="3" t="s">
        <v>13</v>
      </c>
      <c r="D3" s="3" t="s">
        <v>14</v>
      </c>
      <c r="E3" s="3" t="s">
        <v>10</v>
      </c>
      <c r="F3" s="4">
        <v>4645386</v>
      </c>
    </row>
    <row r="4" spans="1:15" ht="15.6">
      <c r="A4" s="3" t="s">
        <v>15</v>
      </c>
      <c r="B4" s="3" t="s">
        <v>12</v>
      </c>
      <c r="C4" s="3" t="s">
        <v>16</v>
      </c>
      <c r="D4" s="3" t="s">
        <v>17</v>
      </c>
      <c r="E4" s="3" t="s">
        <v>10</v>
      </c>
      <c r="F4" s="4">
        <v>1523865</v>
      </c>
    </row>
    <row r="5" spans="1:15" ht="15.6">
      <c r="A5" s="3" t="s">
        <v>18</v>
      </c>
      <c r="B5" s="3" t="s">
        <v>12</v>
      </c>
      <c r="C5" s="3" t="s">
        <v>19</v>
      </c>
      <c r="D5" s="3" t="s">
        <v>20</v>
      </c>
      <c r="E5" s="3" t="s">
        <v>10</v>
      </c>
      <c r="F5" s="4">
        <v>3566605</v>
      </c>
    </row>
    <row r="6" spans="1:15" ht="15.6">
      <c r="A6" s="3" t="s">
        <v>21</v>
      </c>
      <c r="B6" s="3" t="s">
        <v>22</v>
      </c>
      <c r="C6" s="3" t="s">
        <v>19</v>
      </c>
      <c r="D6" s="3" t="s">
        <v>23</v>
      </c>
      <c r="E6" s="3" t="s">
        <v>10</v>
      </c>
      <c r="F6" s="4">
        <v>3745491</v>
      </c>
    </row>
    <row r="7" spans="1:15" ht="15.6">
      <c r="A7" s="3" t="s">
        <v>24</v>
      </c>
      <c r="B7" s="3" t="s">
        <v>22</v>
      </c>
      <c r="C7" s="3" t="s">
        <v>19</v>
      </c>
      <c r="D7" s="3" t="s">
        <v>25</v>
      </c>
      <c r="E7" s="3" t="s">
        <v>10</v>
      </c>
      <c r="F7" s="4">
        <v>4064994</v>
      </c>
    </row>
    <row r="8" spans="1:15" ht="15.6">
      <c r="A8" s="3" t="s">
        <v>26</v>
      </c>
      <c r="B8" s="3" t="s">
        <v>22</v>
      </c>
      <c r="C8" s="3" t="s">
        <v>13</v>
      </c>
      <c r="D8" s="3" t="s">
        <v>27</v>
      </c>
      <c r="E8" s="3" t="s">
        <v>10</v>
      </c>
      <c r="F8" s="4">
        <v>5541240</v>
      </c>
    </row>
    <row r="9" spans="1:15" ht="15.6">
      <c r="A9" s="3" t="s">
        <v>28</v>
      </c>
      <c r="B9" s="3" t="s">
        <v>22</v>
      </c>
      <c r="C9" s="3" t="s">
        <v>13</v>
      </c>
      <c r="D9" s="3" t="s">
        <v>29</v>
      </c>
      <c r="E9" s="3" t="s">
        <v>10</v>
      </c>
      <c r="F9" s="4">
        <v>4966948</v>
      </c>
    </row>
    <row r="10" spans="1:15" ht="15.6">
      <c r="A10" s="3" t="s">
        <v>30</v>
      </c>
      <c r="B10" s="3" t="s">
        <v>7</v>
      </c>
      <c r="C10" s="3" t="s">
        <v>8</v>
      </c>
      <c r="D10" s="3" t="s">
        <v>31</v>
      </c>
      <c r="E10" s="3" t="s">
        <v>32</v>
      </c>
      <c r="F10" s="4">
        <v>1518426</v>
      </c>
    </row>
    <row r="11" spans="1:15" ht="15.75">
      <c r="A11" s="3" t="s">
        <v>33</v>
      </c>
      <c r="B11" s="3" t="s">
        <v>7</v>
      </c>
      <c r="C11" s="3" t="s">
        <v>13</v>
      </c>
      <c r="D11" s="3" t="s">
        <v>34</v>
      </c>
      <c r="E11" s="3" t="s">
        <v>32</v>
      </c>
      <c r="F11" s="4">
        <v>828548</v>
      </c>
      <c r="I11" s="7" t="s">
        <v>35</v>
      </c>
      <c r="J11" s="9" t="s">
        <v>30</v>
      </c>
      <c r="N11" s="11" t="s">
        <v>36</v>
      </c>
    </row>
    <row r="12" spans="1:15" ht="15.75">
      <c r="A12" s="3" t="s">
        <v>37</v>
      </c>
      <c r="B12" s="3" t="s">
        <v>7</v>
      </c>
      <c r="C12" s="3" t="s">
        <v>8</v>
      </c>
      <c r="D12" s="3" t="s">
        <v>38</v>
      </c>
      <c r="E12" s="3" t="s">
        <v>32</v>
      </c>
      <c r="F12" s="4">
        <v>2681953</v>
      </c>
      <c r="J12" s="9">
        <f>LOOKUP(J11,A:A,F:F)</f>
        <v>1518426</v>
      </c>
      <c r="N12" s="10" t="str" cm="1">
        <f t="array" ref="N12:N17">TRANSPOSE(INDEX(A1:F20,1,COLUMN(A1:F1)))</f>
        <v>Name</v>
      </c>
      <c r="O12" s="12" t="str" cm="1">
        <f t="array" ref="O12:O17">TRANSPOSE(VLOOKUP(A2,A2:F20,COLUMN(A1:F1),FALSE))</f>
        <v>Bharat Innovations</v>
      </c>
    </row>
    <row r="13" spans="1:15" ht="15.75">
      <c r="A13" s="3" t="s">
        <v>39</v>
      </c>
      <c r="B13" s="3" t="s">
        <v>7</v>
      </c>
      <c r="C13" s="3" t="s">
        <v>8</v>
      </c>
      <c r="D13" s="3" t="s">
        <v>40</v>
      </c>
      <c r="E13" s="3" t="s">
        <v>32</v>
      </c>
      <c r="F13" s="4">
        <v>3443532</v>
      </c>
      <c r="N13" s="10" t="str">
        <v>Product Name</v>
      </c>
      <c r="O13" s="12" t="str">
        <v>Speaker</v>
      </c>
    </row>
    <row r="14" spans="1:15" ht="15.75">
      <c r="A14" s="3" t="s">
        <v>41</v>
      </c>
      <c r="B14" s="3" t="s">
        <v>7</v>
      </c>
      <c r="C14" s="3" t="s">
        <v>13</v>
      </c>
      <c r="D14" s="3" t="s">
        <v>42</v>
      </c>
      <c r="E14" s="3" t="s">
        <v>32</v>
      </c>
      <c r="F14" s="4">
        <v>3577658</v>
      </c>
      <c r="I14" s="7" t="s">
        <v>36</v>
      </c>
      <c r="J14" s="9" t="str">
        <f>VLOOKUP(J11,A1:F20,4,FALSE)</f>
        <v>Jaipur</v>
      </c>
      <c r="K14" s="11" t="s">
        <v>43</v>
      </c>
      <c r="N14" s="10" t="str">
        <v>Region</v>
      </c>
      <c r="O14" s="12" t="str">
        <v>North</v>
      </c>
    </row>
    <row r="15" spans="1:15" ht="15.75">
      <c r="A15" s="3" t="s">
        <v>44</v>
      </c>
      <c r="B15" s="3" t="s">
        <v>7</v>
      </c>
      <c r="C15" s="3" t="s">
        <v>45</v>
      </c>
      <c r="D15" s="3" t="s">
        <v>46</v>
      </c>
      <c r="E15" s="3" t="s">
        <v>32</v>
      </c>
      <c r="F15" s="4">
        <v>1276242</v>
      </c>
      <c r="N15" s="10" t="str">
        <v>City</v>
      </c>
      <c r="O15" s="12" t="str">
        <v>Delhi</v>
      </c>
    </row>
    <row r="16" spans="1:15" ht="15.75">
      <c r="A16" s="3" t="s">
        <v>47</v>
      </c>
      <c r="B16" s="3" t="s">
        <v>48</v>
      </c>
      <c r="C16" s="3" t="s">
        <v>13</v>
      </c>
      <c r="D16" s="3" t="s">
        <v>49</v>
      </c>
      <c r="E16" s="3" t="s">
        <v>32</v>
      </c>
      <c r="F16" s="4">
        <v>5512404</v>
      </c>
      <c r="I16" s="10" t="s">
        <v>50</v>
      </c>
      <c r="J16" s="9" t="str">
        <f>INDEX(A2:F20,9,4)</f>
        <v>Jaipur</v>
      </c>
      <c r="N16" s="10" t="str">
        <v>Gender</v>
      </c>
      <c r="O16" s="12" t="str">
        <v>Male</v>
      </c>
    </row>
    <row r="17" spans="1:15" ht="15.75">
      <c r="A17" s="3" t="s">
        <v>51</v>
      </c>
      <c r="B17" s="3" t="s">
        <v>48</v>
      </c>
      <c r="C17" s="3" t="s">
        <v>52</v>
      </c>
      <c r="D17" s="3" t="s">
        <v>53</v>
      </c>
      <c r="E17" s="3" t="s">
        <v>32</v>
      </c>
      <c r="F17" s="4">
        <v>1984929</v>
      </c>
      <c r="I17" s="10" t="s">
        <v>54</v>
      </c>
      <c r="J17" t="e">
        <f>MATCH(B11,A2:F20,0)</f>
        <v>#N/A</v>
      </c>
      <c r="N17" s="10" t="str">
        <v>Amount</v>
      </c>
      <c r="O17" s="12">
        <v>3360636</v>
      </c>
    </row>
    <row r="18" spans="1:15" ht="15.75">
      <c r="A18" s="3" t="s">
        <v>55</v>
      </c>
      <c r="B18" s="3" t="s">
        <v>48</v>
      </c>
      <c r="C18" s="3" t="s">
        <v>45</v>
      </c>
      <c r="D18" s="3" t="s">
        <v>56</v>
      </c>
      <c r="E18" s="3" t="s">
        <v>32</v>
      </c>
      <c r="F18" s="4">
        <v>3014882</v>
      </c>
    </row>
    <row r="19" spans="1:15" ht="15.6">
      <c r="A19" s="3" t="s">
        <v>57</v>
      </c>
      <c r="B19" s="3" t="s">
        <v>48</v>
      </c>
      <c r="C19" s="3" t="s">
        <v>19</v>
      </c>
      <c r="D19" s="3" t="s">
        <v>58</v>
      </c>
      <c r="E19" s="3" t="s">
        <v>32</v>
      </c>
      <c r="F19" s="4">
        <v>4510462</v>
      </c>
    </row>
    <row r="20" spans="1:15" ht="16.149999999999999" thickBot="1">
      <c r="A20" s="5" t="s">
        <v>59</v>
      </c>
      <c r="B20" s="5" t="s">
        <v>48</v>
      </c>
      <c r="C20" s="5" t="s">
        <v>16</v>
      </c>
      <c r="D20" s="5" t="s">
        <v>60</v>
      </c>
      <c r="E20" s="5" t="s">
        <v>32</v>
      </c>
      <c r="F20" s="6">
        <v>5389631</v>
      </c>
    </row>
    <row r="23" spans="1:15" ht="15">
      <c r="A23" s="13" t="s">
        <v>61</v>
      </c>
      <c r="B23" s="14">
        <v>1011</v>
      </c>
      <c r="C23" s="14">
        <v>1012</v>
      </c>
      <c r="D23" s="14">
        <v>1013</v>
      </c>
      <c r="E23" s="14">
        <v>1014</v>
      </c>
      <c r="F23" s="14">
        <v>1015</v>
      </c>
    </row>
    <row r="24" spans="1:15" ht="15">
      <c r="A24" s="13" t="s">
        <v>62</v>
      </c>
      <c r="B24" s="14" t="s">
        <v>63</v>
      </c>
      <c r="C24" s="14" t="s">
        <v>64</v>
      </c>
      <c r="D24" s="14" t="s">
        <v>65</v>
      </c>
      <c r="E24" s="14" t="s">
        <v>66</v>
      </c>
      <c r="F24" s="14" t="s">
        <v>67</v>
      </c>
      <c r="I24" t="s">
        <v>68</v>
      </c>
      <c r="J24" t="s">
        <v>69</v>
      </c>
    </row>
    <row r="25" spans="1:15" ht="15">
      <c r="A25" s="13" t="s">
        <v>70</v>
      </c>
      <c r="B25" s="14" t="s">
        <v>14</v>
      </c>
      <c r="C25" s="14" t="s">
        <v>71</v>
      </c>
      <c r="D25" s="14" t="s">
        <v>49</v>
      </c>
      <c r="E25" s="14" t="s">
        <v>71</v>
      </c>
      <c r="F25" s="14" t="s">
        <v>49</v>
      </c>
      <c r="I25" s="7" t="s">
        <v>61</v>
      </c>
      <c r="J25" s="7" t="s">
        <v>72</v>
      </c>
    </row>
    <row r="26" spans="1:15" ht="15">
      <c r="A26" s="13" t="s">
        <v>73</v>
      </c>
      <c r="B26" s="14" t="s">
        <v>74</v>
      </c>
      <c r="C26" s="14" t="s">
        <v>75</v>
      </c>
      <c r="D26" s="14" t="s">
        <v>76</v>
      </c>
      <c r="E26" s="14" t="s">
        <v>75</v>
      </c>
      <c r="F26" s="14" t="s">
        <v>74</v>
      </c>
      <c r="I26" s="8">
        <v>1011</v>
      </c>
      <c r="J26" s="9">
        <f>HLOOKUP(I26,$A$23:$F$27,5,FALSE)</f>
        <v>45505</v>
      </c>
      <c r="L26" t="s">
        <v>77</v>
      </c>
    </row>
    <row r="27" spans="1:15" ht="15">
      <c r="A27" s="13" t="s">
        <v>72</v>
      </c>
      <c r="B27" s="14">
        <v>45505</v>
      </c>
      <c r="C27" s="14">
        <v>50023</v>
      </c>
      <c r="D27" s="14">
        <v>80567</v>
      </c>
      <c r="E27" s="14">
        <v>908345</v>
      </c>
      <c r="F27" s="14">
        <v>68790</v>
      </c>
      <c r="I27" s="8">
        <v>1012</v>
      </c>
      <c r="J27" s="9">
        <f t="shared" ref="J27:J30" si="0">HLOOKUP(I27,$A$23:$F$27,5,FALSE)</f>
        <v>50023</v>
      </c>
    </row>
    <row r="28" spans="1:15" ht="15">
      <c r="I28" s="8">
        <v>1013</v>
      </c>
      <c r="J28" s="9">
        <f t="shared" si="0"/>
        <v>80567</v>
      </c>
    </row>
    <row r="29" spans="1:15" ht="15">
      <c r="I29" s="8">
        <v>1014</v>
      </c>
      <c r="J29" s="9">
        <f t="shared" si="0"/>
        <v>908345</v>
      </c>
    </row>
    <row r="30" spans="1:15" ht="15">
      <c r="I30" s="8">
        <v>1015</v>
      </c>
      <c r="J30" s="9">
        <f t="shared" si="0"/>
        <v>68790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Madhav Phad</dc:creator>
  <cp:keywords/>
  <dc:description/>
  <cp:lastModifiedBy/>
  <cp:revision/>
  <dcterms:created xsi:type="dcterms:W3CDTF">2026-03-18T05:19:10Z</dcterms:created>
  <dcterms:modified xsi:type="dcterms:W3CDTF">2026-03-18T06:33:12Z</dcterms:modified>
  <cp:category/>
  <cp:contentStatus/>
</cp:coreProperties>
</file>